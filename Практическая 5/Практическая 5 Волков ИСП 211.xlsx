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ownloads\"/>
    </mc:Choice>
  </mc:AlternateContent>
  <bookViews>
    <workbookView xWindow="0" yWindow="0" windowWidth="51600" windowHeight="17730" activeTab="1"/>
  </bookViews>
  <sheets>
    <sheet name="Математика" sheetId="1" r:id="rId1"/>
    <sheet name="Расчет кредита" sheetId="2" r:id="rId2"/>
  </sheets>
  <calcPr calcId="162913"/>
</workbook>
</file>

<file path=xl/calcChain.xml><?xml version="1.0" encoding="utf-8"?>
<calcChain xmlns="http://schemas.openxmlformats.org/spreadsheetml/2006/main">
  <c r="B5" i="2" l="1"/>
  <c r="B6" i="2" s="1"/>
  <c r="B7" i="2" s="1"/>
  <c r="Z10" i="1"/>
  <c r="Z8" i="1"/>
  <c r="X8" i="1"/>
  <c r="I8" i="1"/>
  <c r="G8" i="1"/>
  <c r="H8" i="1" s="1"/>
  <c r="F8" i="1"/>
  <c r="AA7" i="1"/>
  <c r="Z7" i="1"/>
  <c r="X7" i="1"/>
  <c r="I7" i="1"/>
  <c r="G7" i="1"/>
  <c r="H7" i="1" s="1"/>
  <c r="F7" i="1"/>
  <c r="AA6" i="1"/>
  <c r="Z6" i="1"/>
  <c r="X6" i="1"/>
  <c r="I6" i="1"/>
  <c r="G6" i="1"/>
  <c r="H6" i="1" s="1"/>
  <c r="F6" i="1"/>
  <c r="AA5" i="1"/>
  <c r="Z5" i="1"/>
  <c r="X5" i="1"/>
  <c r="I5" i="1"/>
  <c r="G5" i="1"/>
  <c r="H5" i="1" s="1"/>
  <c r="F5" i="1"/>
  <c r="AA4" i="1"/>
  <c r="Z4" i="1"/>
  <c r="X4" i="1"/>
  <c r="I4" i="1"/>
  <c r="G4" i="1"/>
  <c r="H4" i="1" s="1"/>
  <c r="F4" i="1"/>
  <c r="AA3" i="1"/>
  <c r="Z3" i="1"/>
  <c r="X3" i="1"/>
  <c r="I3" i="1"/>
  <c r="G3" i="1"/>
  <c r="H3" i="1" s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<sst xmlns="http://schemas.openxmlformats.org/spreadsheetml/2006/main" count="18" uniqueCount="18">
  <si>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</si>
  <si>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</si>
  <si>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</si>
  <si>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</si>
  <si>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</si>
  <si>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</si>
  <si>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</si>
  <si>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Корень из объема</t>
  </si>
  <si>
    <t>Модуль отклонения массы от нормы</t>
  </si>
  <si>
    <t>№ п/п</t>
  </si>
  <si>
    <t>Длина дуги</t>
  </si>
  <si>
    <t>Дуга через РАДИАНЫ</t>
  </si>
  <si>
    <t>Сумма кредита</t>
  </si>
  <si>
    <t>Годовая ставка</t>
  </si>
  <si>
    <t>Срок (лет)</t>
  </si>
  <si>
    <t>Ежемесячный платеж (Аннуитет)</t>
  </si>
  <si>
    <t>Общая сумма выплат</t>
  </si>
  <si>
    <t>Переплата по кредиту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</si>
</sst>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0\ \р\у\б.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2" fillId="0" borderId="0" xfId="0" applyNumberFormat="1" applyFont="1"/>
    <xf numFmtId="0" fontId="3" fillId="0" borderId="0" xfId="0" applyFont="1"/>
    <xf numFmtId="9" fontId="2" fillId="0" borderId="0" xfId="0" applyNumberFormat="1" applyFont="1"/>
    <xf numFmtId="0" fontId="2" fillId="0" borderId="0" xfId="0" applyFont="1"/>
    <xf numFmtId="165" fontId="2" fillId="3" borderId="0" xfId="0" applyNumberFormat="1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workbookViewId="0"/>
  </sheetViews>
  <sheetFormatPr defaultRowHeight="15" x14ac:dyDescent="0.25"/>
  <cols>
    <col min="1" max="1" width="12" customWidth="1"/>
    <col min="2" max="3" width="16" customWidth="1"/>
    <col min="4" max="6" width="15" customWidth="1"/>
    <col min="7" max="7" width="23" customWidth="1"/>
    <col min="8" max="8" width="19" customWidth="1"/>
    <col min="9" max="9" width="35" customWidth="1"/>
    <col min="10" max="23" width="12" customWidth="1"/>
    <col min="24" max="24" width="20" customWidth="1"/>
    <col min="25" max="25" width="12" customWidth="1"/>
    <col min="26" max="26" width="21" customWidth="1"/>
    <col min="27" max="27" width="38" customWidth="1"/>
  </cols>
  <sheetData>
    <row r="1" spans="1:2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>
        <v>3</v>
      </c>
      <c r="X1" s="1" t="s">
        <v>10</v>
      </c>
      <c r="Y1">
        <v>60</v>
      </c>
      <c r="Z1" s="1" t="s">
        <v>11</v>
      </c>
      <c r="AA1">
        <f>SUM(D2:D8)</f>
        <v>21.799999999999997</v>
      </c>
    </row>
    <row r="2" spans="1:27" x14ac:dyDescent="0.25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PI()*POWER(B2,2)*C2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J2" s="2">
        <v>1</v>
      </c>
      <c r="X2" s="3">
        <f t="shared" ref="X2:X8" si="4">PI()*B2*$Y$1/180</f>
        <v>13.089969389957471</v>
      </c>
      <c r="Z2" s="3">
        <f t="shared" ref="Z2:Z8" si="5">B2*RADIANS($Y$1)</f>
        <v>13.089969389957471</v>
      </c>
      <c r="AA2">
        <f>SUMIF(D2:D8,"&gt;2")</f>
        <v>18.100000000000001</v>
      </c>
    </row>
    <row r="3" spans="1:27" x14ac:dyDescent="0.25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J3" s="2">
        <v>2</v>
      </c>
      <c r="X3" s="3">
        <f t="shared" si="4"/>
        <v>8.6917396749317621</v>
      </c>
      <c r="Z3" s="3">
        <f t="shared" si="5"/>
        <v>8.6917396749317604</v>
      </c>
      <c r="AA3">
        <f>SUMPRODUCT(D2:D8,E2:E8)/SUM(E2:E8)</f>
        <v>4.0744612928970474</v>
      </c>
    </row>
    <row r="4" spans="1:27" x14ac:dyDescent="0.25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J4" s="2">
        <v>3</v>
      </c>
      <c r="X4" s="3">
        <f t="shared" si="4"/>
        <v>16.441001553786581</v>
      </c>
      <c r="Z4" s="3">
        <f t="shared" si="5"/>
        <v>16.441001553786581</v>
      </c>
      <c r="AA4">
        <f>COUNTIF(D2:D8,"&gt;2")</f>
        <v>4</v>
      </c>
    </row>
    <row r="5" spans="1:27" x14ac:dyDescent="0.25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J5" s="2">
        <v>4</v>
      </c>
      <c r="X5" s="3">
        <f t="shared" si="4"/>
        <v>6.4926248174189052</v>
      </c>
      <c r="Z5" s="3">
        <f t="shared" si="5"/>
        <v>6.4926248174189052</v>
      </c>
      <c r="AA5">
        <f>AVERAGE(D2:D8)</f>
        <v>3.1142857142857139</v>
      </c>
    </row>
    <row r="6" spans="1:27" x14ac:dyDescent="0.25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J6" s="2">
        <v>5</v>
      </c>
      <c r="X6" s="3">
        <f t="shared" si="4"/>
        <v>21.048670779051616</v>
      </c>
      <c r="Z6" s="3">
        <f t="shared" si="5"/>
        <v>21.048670779051612</v>
      </c>
      <c r="AA6">
        <f>MAX(D2:D8)</f>
        <v>6.5</v>
      </c>
    </row>
    <row r="7" spans="1:27" x14ac:dyDescent="0.25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J7" s="2">
        <v>6</v>
      </c>
      <c r="X7" s="3">
        <f t="shared" si="4"/>
        <v>10.890854532444616</v>
      </c>
      <c r="Z7" s="3">
        <f t="shared" si="5"/>
        <v>10.890854532444616</v>
      </c>
      <c r="AA7">
        <f>MIN(D2:D8)</f>
        <v>0.7</v>
      </c>
    </row>
    <row r="8" spans="1:27" x14ac:dyDescent="0.25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J8" s="2">
        <v>7</v>
      </c>
      <c r="X8" s="3">
        <f t="shared" si="4"/>
        <v>19.792033717615695</v>
      </c>
      <c r="Z8" s="3">
        <f t="shared" si="5"/>
        <v>19.792033717615695</v>
      </c>
    </row>
    <row r="10" spans="1:27" x14ac:dyDescent="0.25">
      <c r="Z10">
        <f>DEGREES(PI()/3)</f>
        <v>59.999999999999993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cols>
    <col min="1" max="1" width="35" customWidth="1"/>
    <col min="2" max="2" width="25" customWidth="1"/>
  </cols>
  <sheetData>
    <row r="1" spans="1:2" x14ac:dyDescent="0.25">
      <c r="A1" s="4">
        <v>500000</v>
      </c>
      <c r="B1" s="5" t="s">
        <v>12</v>
      </c>
    </row>
    <row r="2" spans="1:2" x14ac:dyDescent="0.25">
      <c r="A2" s="6">
        <v>0.18</v>
      </c>
      <c r="B2" s="5" t="s">
        <v>13</v>
      </c>
    </row>
    <row r="3" spans="1:2" x14ac:dyDescent="0.25">
      <c r="A3" s="7">
        <v>3</v>
      </c>
      <c r="B3" s="5" t="s">
        <v>14</v>
      </c>
    </row>
    <row r="5" spans="1:2" x14ac:dyDescent="0.25">
      <c r="A5" s="7" t="s">
        <v>15</v>
      </c>
      <c r="B5" s="8">
        <f>PMT(A2/12, A3*12, -A1)</f>
        <v>18076.197767958416</v>
      </c>
    </row>
    <row r="6" spans="1:2" x14ac:dyDescent="0.25">
      <c r="A6" s="7" t="s">
        <v>16</v>
      </c>
      <c r="B6" s="8">
        <f>B5*A3*12</f>
        <v>650743.11964650301</v>
      </c>
    </row>
    <row r="7" spans="1:2" x14ac:dyDescent="0.25">
      <c r="A7" s="7" t="s">
        <v>17</v>
      </c>
      <c r="B7" s="8">
        <f>B6-A1</f>
        <v>150743.11964650301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2026-10-05T06:50:21Z</dcterms:created>
  <dcterms:modified xsi:type="dcterms:W3CDTF">2026-10-05T06:59:38Z</dcterms:modified>
</cp:coreProperties>
</file>