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 зарплаты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₽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  <xf numFmtId="164" fontId="0" fillId="0" borderId="0" applyAlignment="1" pivotButton="0" quotePrefix="0" xfId="0">
      <alignment horizontal="right" vertical="center"/>
    </xf>
    <xf numFmtId="9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7" customWidth="1" min="4" max="4"/>
    <col width="17" customWidth="1" min="5" max="5"/>
    <col width="15" customWidth="1" min="6" max="6"/>
    <col width="12" customWidth="1" min="7" max="7"/>
    <col width="16" customWidth="1" min="8" max="8"/>
  </cols>
  <sheetData>
    <row r="1">
      <c r="A1" s="1" t="inlineStr">
        <is>
          <t>ФИО сотрудника</t>
        </is>
      </c>
      <c r="B1" s="1" t="inlineStr">
        <is>
          <t>Оклад (руб.)</t>
        </is>
      </c>
      <c r="C1" s="1" t="inlineStr">
        <is>
          <t>Премия (%)</t>
        </is>
      </c>
      <c r="D1" s="1" t="inlineStr">
        <is>
          <t>Премия (руб.)</t>
        </is>
      </c>
      <c r="E1" s="1" t="inlineStr">
        <is>
          <t>НДФЛ (13%)</t>
        </is>
      </c>
      <c r="F1" s="1" t="inlineStr">
        <is>
          <t>К выдаче</t>
        </is>
      </c>
      <c r="G1" s="1" t="inlineStr">
        <is>
          <t>№ п/п</t>
        </is>
      </c>
      <c r="H1" s="2" t="inlineStr">
        <is>
          <t>Ставка НДФЛ:</t>
        </is>
      </c>
    </row>
    <row r="2">
      <c r="A2" s="3" t="inlineStr">
        <is>
          <t>Иванов И.И.</t>
        </is>
      </c>
      <c r="B2" s="4" t="n">
        <v>50000</v>
      </c>
      <c r="C2" s="5" t="n">
        <v>20</v>
      </c>
      <c r="D2" s="4">
        <f>B2*C2/100</f>
        <v/>
      </c>
      <c r="E2" s="4">
        <f>(B2+D2)*$H$2</f>
        <v/>
      </c>
      <c r="F2" s="4">
        <f>B2+D2-E2</f>
        <v/>
      </c>
      <c r="G2" s="5" t="n">
        <v>1</v>
      </c>
      <c r="H2" s="6" t="n">
        <v>0.13</v>
      </c>
    </row>
    <row r="3">
      <c r="A3" s="3" t="inlineStr">
        <is>
          <t>Петров П.П.</t>
        </is>
      </c>
      <c r="B3" s="4" t="n">
        <v>45000</v>
      </c>
      <c r="C3" s="5" t="n">
        <v>15</v>
      </c>
      <c r="D3" s="4">
        <f>B3*C3/100</f>
        <v/>
      </c>
      <c r="E3" s="4">
        <f>(B3+D3)*$H$2</f>
        <v/>
      </c>
      <c r="F3" s="4">
        <f>B3+D3-E3</f>
        <v/>
      </c>
      <c r="G3" s="5" t="n">
        <v>2</v>
      </c>
    </row>
    <row r="4">
      <c r="A4" s="3" t="inlineStr">
        <is>
          <t>Сидоров С.С.</t>
        </is>
      </c>
      <c r="B4" s="4" t="n">
        <v>62000</v>
      </c>
      <c r="C4" s="5" t="n">
        <v>25</v>
      </c>
      <c r="D4" s="4">
        <f>B4*C4/100</f>
        <v/>
      </c>
      <c r="E4" s="4">
        <f>(B4+D4)*$H$2</f>
        <v/>
      </c>
      <c r="F4" s="4">
        <f>B4+D4-E4</f>
        <v/>
      </c>
      <c r="G4" s="5" t="n">
        <v>3</v>
      </c>
    </row>
    <row r="5">
      <c r="A5" s="3" t="inlineStr">
        <is>
          <t>Кузнецова К.К.</t>
        </is>
      </c>
      <c r="B5" s="4" t="n">
        <v>55000</v>
      </c>
      <c r="C5" s="5" t="n">
        <v>10</v>
      </c>
      <c r="D5" s="4">
        <f>B5*C5/100</f>
        <v/>
      </c>
      <c r="E5" s="4">
        <f>(B5+D5)*$H$2</f>
        <v/>
      </c>
      <c r="F5" s="4">
        <f>B5+D5-E5</f>
        <v/>
      </c>
      <c r="G5" s="5" t="n">
        <v>4</v>
      </c>
    </row>
    <row r="6">
      <c r="A6" s="3" t="inlineStr">
        <is>
          <t>Смирнов С.С.</t>
        </is>
      </c>
      <c r="B6" s="4" t="n">
        <v>40000</v>
      </c>
      <c r="C6" s="5" t="n">
        <v>30</v>
      </c>
      <c r="D6" s="4">
        <f>B6*C6/100</f>
        <v/>
      </c>
      <c r="E6" s="4">
        <f>(B6+D6)*$H$2</f>
        <v/>
      </c>
      <c r="F6" s="4">
        <f>B6+D6-E6</f>
        <v/>
      </c>
      <c r="G6" s="5" t="n">
        <v>5</v>
      </c>
    </row>
    <row r="7">
      <c r="A7" s="7" t="inlineStr">
        <is>
          <t>ИТОГО:</t>
        </is>
      </c>
      <c r="B7" s="4">
        <f>SUM(B2:B6)</f>
        <v/>
      </c>
      <c r="C7" s="5" t="n"/>
      <c r="D7" s="4">
        <f>SUM(D2:D6)</f>
        <v/>
      </c>
      <c r="E7" s="4">
        <f>SUM(E2:E6)</f>
        <v/>
      </c>
      <c r="F7" s="4">
        <f>SUM(F2:F6)</f>
        <v/>
      </c>
      <c r="G7" s="5" t="n"/>
    </row>
    <row r="8"/>
    <row r="9">
      <c r="A9" s="8" t="inlineStr">
        <is>
          <t>Средняя зарплата:</t>
        </is>
      </c>
      <c r="B9" s="9">
        <f>AVERAGE(F2:F6)</f>
        <v/>
      </c>
    </row>
    <row r="10">
      <c r="A10" s="8" t="inlineStr">
        <is>
          <t>Максимум:</t>
        </is>
      </c>
      <c r="B10" s="9">
        <f>MAX(F2:F6)</f>
        <v/>
      </c>
    </row>
    <row r="11">
      <c r="A11" s="8" t="inlineStr">
        <is>
          <t>Минимум:</t>
        </is>
      </c>
      <c r="B11" s="9">
        <f>MIN(F2:F6)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3" customWidth="1" min="5" max="5"/>
    <col width="20" customWidth="1" min="6" max="6"/>
    <col width="13" customWidth="1" min="7" max="7"/>
    <col width="12" customWidth="1" min="8" max="8"/>
    <col width="15" customWidth="1" min="9" max="9"/>
  </cols>
  <sheetData>
    <row r="1">
      <c r="A1" s="1" t="inlineStr">
        <is>
          <t>Товар</t>
        </is>
      </c>
      <c r="B1" s="1" t="inlineStr">
        <is>
          <t>Цена за ед.</t>
        </is>
      </c>
      <c r="C1" s="1" t="inlineStr">
        <is>
          <t>Кол-во</t>
        </is>
      </c>
      <c r="D1" s="1" t="inlineStr">
        <is>
          <t>Скидка %</t>
        </is>
      </c>
      <c r="E1" s="1" t="inlineStr">
        <is>
          <t>Стоимость</t>
        </is>
      </c>
      <c r="F1" s="1" t="inlineStr">
        <is>
          <t>Итого со скидкой</t>
        </is>
      </c>
      <c r="G1" s="1" t="inlineStr">
        <is>
          <t>НДС (20%)</t>
        </is>
      </c>
      <c r="I1" s="2" t="inlineStr">
        <is>
          <t>Ставка НДС:</t>
        </is>
      </c>
    </row>
    <row r="2">
      <c r="A2" s="3" t="inlineStr">
        <is>
          <t>Ноутбук</t>
        </is>
      </c>
      <c r="B2" s="4" t="n">
        <v>45000</v>
      </c>
      <c r="C2" s="5" t="n">
        <v>5</v>
      </c>
      <c r="D2" s="5" t="n">
        <v>5</v>
      </c>
      <c r="E2" s="4">
        <f>B2*C2</f>
        <v/>
      </c>
      <c r="F2" s="4">
        <f>E2*(1-D2/100)</f>
        <v/>
      </c>
      <c r="G2" s="4">
        <f>E2*$I$2</f>
        <v/>
      </c>
      <c r="I2" s="10" t="n">
        <v>0.2</v>
      </c>
    </row>
    <row r="3">
      <c r="A3" s="3" t="inlineStr">
        <is>
          <t>Монитор</t>
        </is>
      </c>
      <c r="B3" s="4" t="n">
        <v>18000</v>
      </c>
      <c r="C3" s="5" t="n">
        <v>10</v>
      </c>
      <c r="D3" s="5" t="n">
        <v>3</v>
      </c>
      <c r="E3" s="4">
        <f>B3*C3</f>
        <v/>
      </c>
      <c r="F3" s="4">
        <f>E3*(1-D3/100)</f>
        <v/>
      </c>
      <c r="G3" s="4">
        <f>E3*$I$2</f>
        <v/>
      </c>
    </row>
    <row r="4">
      <c r="A4" s="3" t="inlineStr">
        <is>
          <t>Клавиатура</t>
        </is>
      </c>
      <c r="B4" s="4" t="n">
        <v>15000</v>
      </c>
      <c r="C4" s="5" t="n">
        <v>25</v>
      </c>
      <c r="D4" s="5" t="n">
        <v>10</v>
      </c>
      <c r="E4" s="4">
        <f>B4*C4</f>
        <v/>
      </c>
      <c r="F4" s="4">
        <f>E4*(1-D4/100)</f>
        <v/>
      </c>
      <c r="G4" s="4">
        <f>E4*$I$2</f>
        <v/>
      </c>
    </row>
    <row r="5">
      <c r="A5" s="3" t="inlineStr">
        <is>
          <t>Мышь</t>
        </is>
      </c>
      <c r="B5" s="4" t="n">
        <v>800</v>
      </c>
      <c r="C5" s="5" t="n">
        <v>30</v>
      </c>
      <c r="D5" s="5" t="n">
        <v>7</v>
      </c>
      <c r="E5" s="4">
        <f>B5*C5</f>
        <v/>
      </c>
      <c r="F5" s="4">
        <f>E5*(1-D5/100)</f>
        <v/>
      </c>
      <c r="G5" s="4">
        <f>E5*$I$2</f>
        <v/>
      </c>
    </row>
    <row r="6">
      <c r="A6" s="7" t="inlineStr">
        <is>
          <t>ИТОГО:</t>
        </is>
      </c>
      <c r="B6" s="4" t="n"/>
      <c r="C6" s="5" t="n"/>
      <c r="D6" s="5" t="n"/>
      <c r="E6" s="4" t="n"/>
      <c r="F6" s="4">
        <f>SUM(F2:F5)</f>
        <v/>
      </c>
      <c r="G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2026-09-21T15:07:44Z</dcterms:created>
  <dcterms:modified xmlns:dcterms="http://purl.org/dc/terms/" xmlns:xsi="http://www.w3.org/2001/XMLSchema-instance" xsi:type="dcterms:W3CDTF">2026-09-21T15:07:44Z</dcterms:modified>
</cp:coreProperties>
</file>